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o" sheetId="1" state="visible" r:id="rId3"/>
    <sheet name="Diario" sheetId="2" state="visible" r:id="rId4"/>
    <sheet name="Riepilog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<sst xmlns="http://schemas.openxmlformats.org/spreadsheetml/2006/main" count="143" uniqueCount="73">
  <si>
    <t xml:space="preserve">Preparazione stage Adverteaser - progetto AgencyFlow</t>
  </si>
  <si>
    <t xml:space="preserve">Fascia fissa: 10:15 - 13:15 (3 ore al giorno). Le righe grigie sono rimandate a dopo l'inizio dello stage.</t>
  </si>
  <si>
    <t xml:space="preserve">N.</t>
  </si>
  <si>
    <t xml:space="preserve">Data</t>
  </si>
  <si>
    <t xml:space="preserve">Area</t>
  </si>
  <si>
    <t xml:space="preserve">Argomento</t>
  </si>
  <si>
    <t xml:space="preserve">Priorita</t>
  </si>
  <si>
    <t xml:space="preserve">Stato</t>
  </si>
  <si>
    <t xml:space="preserve">Ore</t>
  </si>
  <si>
    <t xml:space="preserve">Cosa ho prodotto</t>
  </si>
  <si>
    <t xml:space="preserve">Dove mi sono bloccato</t>
  </si>
  <si>
    <t xml:space="preserve">Ambiente</t>
  </si>
  <si>
    <t xml:space="preserve">PHP 8.3 in locale + Composer + MySQL: progetto vuoto che parte con artisan serve</t>
  </si>
  <si>
    <t xml:space="preserve">Alta</t>
  </si>
  <si>
    <t xml:space="preserve">Da fare</t>
  </si>
  <si>
    <t xml:space="preserve">PHP</t>
  </si>
  <si>
    <t xml:space="preserve">Sintassi: tipi, array associativi, funzioni, controllo del flusso</t>
  </si>
  <si>
    <t xml:space="preserve">OOP 1: classi, costruttori, visibilita, ereditarieta</t>
  </si>
  <si>
    <t xml:space="preserve">OOP 2: interfacce, trait, namespace, eccezioni, Composer e autoload PSR-4</t>
  </si>
  <si>
    <t xml:space="preserve">Laravel</t>
  </si>
  <si>
    <t xml:space="preserve">Struttura cartelle, Artisan, .env, ciclo di una richiesta HTTP</t>
  </si>
  <si>
    <t xml:space="preserve">Rotte, controller, request e response, Blade di base</t>
  </si>
  <si>
    <t xml:space="preserve">Database</t>
  </si>
  <si>
    <t xml:space="preserve">MySQL, migrations, schema, rollback</t>
  </si>
  <si>
    <t xml:space="preserve">Eloquent</t>
  </si>
  <si>
    <t xml:space="preserve">Modelli, CRUD, query builder, collections</t>
  </si>
  <si>
    <t xml:space="preserve">Relazioni 1-N e N-N, factory, seeder, eager loading</t>
  </si>
  <si>
    <t xml:space="preserve">Form Request, validazione, gestione degli errori</t>
  </si>
  <si>
    <t xml:space="preserve">Autenticazione e middleware (Gates e Policies solo come concetto)</t>
  </si>
  <si>
    <t xml:space="preserve">Media</t>
  </si>
  <si>
    <t xml:space="preserve">Filament</t>
  </si>
  <si>
    <t xml:space="preserve">Installazione, panel, anatomia di una Resource</t>
  </si>
  <si>
    <t xml:space="preserve">Form e validazione</t>
  </si>
  <si>
    <t xml:space="preserve">Tabelle: colonne, ricerca, ordinamento, filtri</t>
  </si>
  <si>
    <t xml:space="preserve">Relation Managers, actions e notifiche</t>
  </si>
  <si>
    <t xml:space="preserve">Frontend</t>
  </si>
  <si>
    <t xml:space="preserve">TypeScript e Vue 3: componenti, props, reattivita (infarinatura)</t>
  </si>
  <si>
    <t xml:space="preserve">Tailwind e lettura di un componente Vue gia scritto</t>
  </si>
  <si>
    <t xml:space="preserve">Codebase</t>
  </si>
  <si>
    <t xml:space="preserve">Entrare in un progetto sconosciuto: dalla rotta al controller al modello alla view</t>
  </si>
  <si>
    <t xml:space="preserve">Simulazione ticket: analisi, branch, modifica, verifica, consegna</t>
  </si>
  <si>
    <t xml:space="preserve">-</t>
  </si>
  <si>
    <t xml:space="preserve">Rimandato</t>
  </si>
  <si>
    <t xml:space="preserve">Docker, WSL2 e Laravel Sail: solo se lo usa l'azienda</t>
  </si>
  <si>
    <t xml:space="preserve">Dependency injection e service container</t>
  </si>
  <si>
    <t xml:space="preserve">Livewire personalizzato, widget e pagine Filament custom</t>
  </si>
  <si>
    <t xml:space="preserve">Gates e Policies in profondita, autorizzazione delle Resource</t>
  </si>
  <si>
    <t xml:space="preserve">Vue avanzato: eventi, form, chiamate HTTP verso Laravel</t>
  </si>
  <si>
    <t xml:space="preserve">Test HTTP e database, sicurezza</t>
  </si>
  <si>
    <t xml:space="preserve">Diario giornaliero</t>
  </si>
  <si>
    <t xml:space="preserve">Compila ogni sera, cinque minuti. Serve per la relazione finale, per il registro presenze e per non ripartire da zero la mattina dopo.</t>
  </si>
  <si>
    <t xml:space="preserve">Materia</t>
  </si>
  <si>
    <t xml:space="preserve">Cosa ho fatto</t>
  </si>
  <si>
    <t xml:space="preserve">Cosa ho imparato di nuovo</t>
  </si>
  <si>
    <t xml:space="preserve">Da riprendere domani</t>
  </si>
  <si>
    <t xml:space="preserve">Stage</t>
  </si>
  <si>
    <t xml:space="preserve">Installato PHP 8.3 e Composer, creato il progetto AgencyFlow, prima pagina che risponde</t>
  </si>
  <si>
    <t xml:space="preserve">Composer scarica le dipendenze e genera l'autoload: non serve includere i file a mano</t>
  </si>
  <si>
    <t xml:space="preserve">artisan serve dava errore di estensione mancante, risolto abilitando pdo_mysql nel php.ini</t>
  </si>
  <si>
    <t xml:space="preserve">Collegare il progetto al database e creare la prima migration</t>
  </si>
  <si>
    <t xml:space="preserve">Riepilogo</t>
  </si>
  <si>
    <t xml:space="preserve">Giorni in programma (esclusi i rimandati)</t>
  </si>
  <si>
    <t xml:space="preserve">Giorni completati</t>
  </si>
  <si>
    <t xml:space="preserve">Giorni parziali</t>
  </si>
  <si>
    <t xml:space="preserve">Giorni saltati</t>
  </si>
  <si>
    <t xml:space="preserve">Avanzamento</t>
  </si>
  <si>
    <t xml:space="preserve">Ore totali fatte</t>
  </si>
  <si>
    <t xml:space="preserve">Ore previste (3 h x giorni in programma)</t>
  </si>
  <si>
    <t xml:space="preserve">Scarto rispetto al previsto</t>
  </si>
  <si>
    <t xml:space="preserve">Media ore nei giorni registrati</t>
  </si>
  <si>
    <t xml:space="preserve">Giorni rimasti al 28/09</t>
  </si>
  <si>
    <t xml:space="preserve">Nota: le ore vanno scritte nella colonna G del foglio Piano. Tutto il resto si calcola da solo.</t>
  </si>
  <si>
    <t xml:space="preserve">Se lo scarto diventa molto negativo, non recuperare: taglia le righe a priorita Media.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</si>
</sst>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d/mm"/>
    <numFmt numFmtId="166" formatCode="dd/mm/yyyy"/>
    <numFmt numFmtId="167" formatCode="0"/>
    <numFmt numFmtId="168" formatCode="0.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38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1</v>
      </c>
      <c r="B5" s="5" t="n">
        <v>46275</v>
      </c>
      <c r="C5" s="6" t="s">
        <v>11</v>
      </c>
      <c r="D5" s="7" t="s">
        <v>12</v>
      </c>
      <c r="E5" s="6" t="s">
        <v>13</v>
      </c>
      <c r="F5" s="6" t="s">
        <v>14</v>
      </c>
      <c r="G5" s="4"/>
      <c r="H5" s="7"/>
      <c r="I5" s="7"/>
    </row>
    <row r="6" customFormat="false" ht="15" hidden="false" customHeight="false" outlineLevel="0" collapsed="false">
      <c r="A6" s="4" t="n">
        <v>2</v>
      </c>
      <c r="B6" s="5" t="n">
        <v>46276</v>
      </c>
      <c r="C6" s="6" t="s">
        <v>15</v>
      </c>
      <c r="D6" s="7" t="s">
        <v>16</v>
      </c>
      <c r="E6" s="6" t="s">
        <v>13</v>
      </c>
      <c r="F6" s="6" t="s">
        <v>14</v>
      </c>
      <c r="G6" s="4"/>
      <c r="H6" s="7"/>
      <c r="I6" s="7"/>
    </row>
    <row r="7" customFormat="false" ht="15" hidden="false" customHeight="false" outlineLevel="0" collapsed="false">
      <c r="A7" s="4" t="n">
        <v>3</v>
      </c>
      <c r="B7" s="5" t="n">
        <v>46277</v>
      </c>
      <c r="C7" s="6" t="s">
        <v>15</v>
      </c>
      <c r="D7" s="7" t="s">
        <v>17</v>
      </c>
      <c r="E7" s="6" t="s">
        <v>13</v>
      </c>
      <c r="F7" s="6" t="s">
        <v>14</v>
      </c>
      <c r="G7" s="4"/>
      <c r="H7" s="7"/>
      <c r="I7" s="7"/>
    </row>
    <row r="8" customFormat="false" ht="23.85" hidden="false" customHeight="false" outlineLevel="0" collapsed="false">
      <c r="A8" s="4" t="n">
        <v>4</v>
      </c>
      <c r="B8" s="5" t="n">
        <v>46278</v>
      </c>
      <c r="C8" s="6" t="s">
        <v>15</v>
      </c>
      <c r="D8" s="7" t="s">
        <v>18</v>
      </c>
      <c r="E8" s="6" t="s">
        <v>13</v>
      </c>
      <c r="F8" s="6" t="s">
        <v>14</v>
      </c>
      <c r="G8" s="4"/>
      <c r="H8" s="7"/>
      <c r="I8" s="7"/>
    </row>
    <row r="9" customFormat="false" ht="15" hidden="false" customHeight="false" outlineLevel="0" collapsed="false">
      <c r="A9" s="4" t="n">
        <v>5</v>
      </c>
      <c r="B9" s="5" t="n">
        <v>46279</v>
      </c>
      <c r="C9" s="6" t="s">
        <v>19</v>
      </c>
      <c r="D9" s="7" t="s">
        <v>20</v>
      </c>
      <c r="E9" s="6" t="s">
        <v>13</v>
      </c>
      <c r="F9" s="6" t="s">
        <v>14</v>
      </c>
      <c r="G9" s="4"/>
      <c r="H9" s="7"/>
      <c r="I9" s="7"/>
    </row>
    <row r="10" customFormat="false" ht="15" hidden="false" customHeight="false" outlineLevel="0" collapsed="false">
      <c r="A10" s="4" t="n">
        <v>6</v>
      </c>
      <c r="B10" s="5" t="n">
        <v>46280</v>
      </c>
      <c r="C10" s="6" t="s">
        <v>19</v>
      </c>
      <c r="D10" s="7" t="s">
        <v>21</v>
      </c>
      <c r="E10" s="6" t="s">
        <v>13</v>
      </c>
      <c r="F10" s="6" t="s">
        <v>14</v>
      </c>
      <c r="G10" s="4"/>
      <c r="H10" s="7"/>
      <c r="I10" s="7"/>
    </row>
    <row r="11" customFormat="false" ht="15" hidden="false" customHeight="false" outlineLevel="0" collapsed="false">
      <c r="A11" s="4" t="n">
        <v>7</v>
      </c>
      <c r="B11" s="5" t="n">
        <v>46281</v>
      </c>
      <c r="C11" s="6" t="s">
        <v>22</v>
      </c>
      <c r="D11" s="7" t="s">
        <v>23</v>
      </c>
      <c r="E11" s="6" t="s">
        <v>13</v>
      </c>
      <c r="F11" s="6" t="s">
        <v>14</v>
      </c>
      <c r="G11" s="4"/>
      <c r="H11" s="7"/>
      <c r="I11" s="7"/>
    </row>
    <row r="12" customFormat="false" ht="15" hidden="false" customHeight="false" outlineLevel="0" collapsed="false">
      <c r="A12" s="4" t="n">
        <v>8</v>
      </c>
      <c r="B12" s="5" t="n">
        <v>46282</v>
      </c>
      <c r="C12" s="6" t="s">
        <v>24</v>
      </c>
      <c r="D12" s="7" t="s">
        <v>25</v>
      </c>
      <c r="E12" s="6" t="s">
        <v>13</v>
      </c>
      <c r="F12" s="6" t="s">
        <v>14</v>
      </c>
      <c r="G12" s="4"/>
      <c r="H12" s="7"/>
      <c r="I12" s="7"/>
    </row>
    <row r="13" customFormat="false" ht="15" hidden="false" customHeight="false" outlineLevel="0" collapsed="false">
      <c r="A13" s="4" t="n">
        <v>9</v>
      </c>
      <c r="B13" s="5" t="n">
        <v>46283</v>
      </c>
      <c r="C13" s="6" t="s">
        <v>24</v>
      </c>
      <c r="D13" s="7" t="s">
        <v>26</v>
      </c>
      <c r="E13" s="6" t="s">
        <v>13</v>
      </c>
      <c r="F13" s="6" t="s">
        <v>14</v>
      </c>
      <c r="G13" s="4"/>
      <c r="H13" s="7"/>
      <c r="I13" s="7"/>
    </row>
    <row r="14" customFormat="false" ht="15" hidden="false" customHeight="false" outlineLevel="0" collapsed="false">
      <c r="A14" s="4" t="n">
        <v>10</v>
      </c>
      <c r="B14" s="5" t="n">
        <v>46284</v>
      </c>
      <c r="C14" s="6" t="s">
        <v>19</v>
      </c>
      <c r="D14" s="7" t="s">
        <v>27</v>
      </c>
      <c r="E14" s="6" t="s">
        <v>13</v>
      </c>
      <c r="F14" s="6" t="s">
        <v>14</v>
      </c>
      <c r="G14" s="4"/>
      <c r="H14" s="7"/>
      <c r="I14" s="7"/>
    </row>
    <row r="15" customFormat="false" ht="23.85" hidden="false" customHeight="false" outlineLevel="0" collapsed="false">
      <c r="A15" s="4" t="n">
        <v>11</v>
      </c>
      <c r="B15" s="5" t="n">
        <v>46285</v>
      </c>
      <c r="C15" s="6" t="s">
        <v>19</v>
      </c>
      <c r="D15" s="7" t="s">
        <v>28</v>
      </c>
      <c r="E15" s="6" t="s">
        <v>29</v>
      </c>
      <c r="F15" s="6" t="s">
        <v>14</v>
      </c>
      <c r="G15" s="4"/>
      <c r="H15" s="7"/>
      <c r="I15" s="7"/>
    </row>
    <row r="16" customFormat="false" ht="15" hidden="false" customHeight="false" outlineLevel="0" collapsed="false">
      <c r="A16" s="4" t="n">
        <v>12</v>
      </c>
      <c r="B16" s="5" t="n">
        <v>46286</v>
      </c>
      <c r="C16" s="6" t="s">
        <v>30</v>
      </c>
      <c r="D16" s="7" t="s">
        <v>31</v>
      </c>
      <c r="E16" s="6" t="s">
        <v>13</v>
      </c>
      <c r="F16" s="6" t="s">
        <v>14</v>
      </c>
      <c r="G16" s="4"/>
      <c r="H16" s="7"/>
      <c r="I16" s="7"/>
    </row>
    <row r="17" customFormat="false" ht="15" hidden="false" customHeight="false" outlineLevel="0" collapsed="false">
      <c r="A17" s="4" t="n">
        <v>13</v>
      </c>
      <c r="B17" s="5" t="n">
        <v>46287</v>
      </c>
      <c r="C17" s="6" t="s">
        <v>30</v>
      </c>
      <c r="D17" s="7" t="s">
        <v>32</v>
      </c>
      <c r="E17" s="6" t="s">
        <v>13</v>
      </c>
      <c r="F17" s="6" t="s">
        <v>14</v>
      </c>
      <c r="G17" s="4"/>
      <c r="H17" s="7"/>
      <c r="I17" s="7"/>
    </row>
    <row r="18" customFormat="false" ht="15" hidden="false" customHeight="false" outlineLevel="0" collapsed="false">
      <c r="A18" s="4" t="n">
        <v>14</v>
      </c>
      <c r="B18" s="5" t="n">
        <v>46288</v>
      </c>
      <c r="C18" s="6" t="s">
        <v>30</v>
      </c>
      <c r="D18" s="7" t="s">
        <v>33</v>
      </c>
      <c r="E18" s="6" t="s">
        <v>13</v>
      </c>
      <c r="F18" s="6" t="s">
        <v>14</v>
      </c>
      <c r="G18" s="4"/>
      <c r="H18" s="7"/>
      <c r="I18" s="7"/>
    </row>
    <row r="19" customFormat="false" ht="15" hidden="false" customHeight="false" outlineLevel="0" collapsed="false">
      <c r="A19" s="4" t="n">
        <v>15</v>
      </c>
      <c r="B19" s="5" t="n">
        <v>46289</v>
      </c>
      <c r="C19" s="6" t="s">
        <v>30</v>
      </c>
      <c r="D19" s="7" t="s">
        <v>34</v>
      </c>
      <c r="E19" s="6" t="s">
        <v>13</v>
      </c>
      <c r="F19" s="6" t="s">
        <v>14</v>
      </c>
      <c r="G19" s="4"/>
      <c r="H19" s="7"/>
      <c r="I19" s="7"/>
    </row>
    <row r="20" customFormat="false" ht="15" hidden="false" customHeight="false" outlineLevel="0" collapsed="false">
      <c r="A20" s="4" t="n">
        <v>16</v>
      </c>
      <c r="B20" s="5" t="n">
        <v>46290</v>
      </c>
      <c r="C20" s="6" t="s">
        <v>35</v>
      </c>
      <c r="D20" s="7" t="s">
        <v>36</v>
      </c>
      <c r="E20" s="6" t="s">
        <v>29</v>
      </c>
      <c r="F20" s="6" t="s">
        <v>14</v>
      </c>
      <c r="G20" s="4"/>
      <c r="H20" s="7"/>
      <c r="I20" s="7"/>
    </row>
    <row r="21" customFormat="false" ht="15" hidden="false" customHeight="false" outlineLevel="0" collapsed="false">
      <c r="A21" s="4" t="n">
        <v>17</v>
      </c>
      <c r="B21" s="5" t="n">
        <v>46291</v>
      </c>
      <c r="C21" s="6" t="s">
        <v>35</v>
      </c>
      <c r="D21" s="7" t="s">
        <v>37</v>
      </c>
      <c r="E21" s="6" t="s">
        <v>29</v>
      </c>
      <c r="F21" s="6" t="s">
        <v>14</v>
      </c>
      <c r="G21" s="4"/>
      <c r="H21" s="7"/>
      <c r="I21" s="7"/>
    </row>
    <row r="22" customFormat="false" ht="23.85" hidden="false" customHeight="false" outlineLevel="0" collapsed="false">
      <c r="A22" s="4" t="n">
        <v>18</v>
      </c>
      <c r="B22" s="5" t="n">
        <v>46292</v>
      </c>
      <c r="C22" s="6" t="s">
        <v>38</v>
      </c>
      <c r="D22" s="7" t="s">
        <v>39</v>
      </c>
      <c r="E22" s="6" t="s">
        <v>13</v>
      </c>
      <c r="F22" s="6" t="s">
        <v>14</v>
      </c>
      <c r="G22" s="4"/>
      <c r="H22" s="7"/>
      <c r="I22" s="7"/>
    </row>
    <row r="23" customFormat="false" ht="15" hidden="false" customHeight="false" outlineLevel="0" collapsed="false">
      <c r="A23" s="4" t="n">
        <v>19</v>
      </c>
      <c r="B23" s="5" t="n">
        <v>46293</v>
      </c>
      <c r="C23" s="6" t="s">
        <v>38</v>
      </c>
      <c r="D23" s="7" t="s">
        <v>40</v>
      </c>
      <c r="E23" s="6" t="s">
        <v>13</v>
      </c>
      <c r="F23" s="6" t="s">
        <v>14</v>
      </c>
      <c r="G23" s="4"/>
      <c r="H23" s="7"/>
      <c r="I23" s="7"/>
    </row>
    <row r="24" customFormat="false" ht="15" hidden="false" customHeight="false" outlineLevel="0" collapsed="false">
      <c r="A24" s="8" t="n">
        <v>20</v>
      </c>
      <c r="B24" s="8" t="s">
        <v>41</v>
      </c>
      <c r="C24" s="9" t="s">
        <v>42</v>
      </c>
      <c r="D24" s="10" t="s">
        <v>43</v>
      </c>
      <c r="E24" s="9" t="s">
        <v>42</v>
      </c>
      <c r="F24" s="9" t="s">
        <v>42</v>
      </c>
      <c r="G24" s="8"/>
      <c r="H24" s="10"/>
      <c r="I24" s="10"/>
    </row>
    <row r="25" customFormat="false" ht="15" hidden="false" customHeight="false" outlineLevel="0" collapsed="false">
      <c r="A25" s="8" t="n">
        <v>21</v>
      </c>
      <c r="B25" s="8" t="s">
        <v>41</v>
      </c>
      <c r="C25" s="9" t="s">
        <v>42</v>
      </c>
      <c r="D25" s="10" t="s">
        <v>44</v>
      </c>
      <c r="E25" s="9" t="s">
        <v>42</v>
      </c>
      <c r="F25" s="9" t="s">
        <v>42</v>
      </c>
      <c r="G25" s="8"/>
      <c r="H25" s="10"/>
      <c r="I25" s="10"/>
    </row>
    <row r="26" customFormat="false" ht="15" hidden="false" customHeight="false" outlineLevel="0" collapsed="false">
      <c r="A26" s="8" t="n">
        <v>22</v>
      </c>
      <c r="B26" s="8" t="s">
        <v>41</v>
      </c>
      <c r="C26" s="9" t="s">
        <v>42</v>
      </c>
      <c r="D26" s="10" t="s">
        <v>45</v>
      </c>
      <c r="E26" s="9" t="s">
        <v>42</v>
      </c>
      <c r="F26" s="9" t="s">
        <v>42</v>
      </c>
      <c r="G26" s="8"/>
      <c r="H26" s="10"/>
      <c r="I26" s="10"/>
    </row>
    <row r="27" customFormat="false" ht="15" hidden="false" customHeight="false" outlineLevel="0" collapsed="false">
      <c r="A27" s="8" t="n">
        <v>23</v>
      </c>
      <c r="B27" s="8" t="s">
        <v>41</v>
      </c>
      <c r="C27" s="9" t="s">
        <v>42</v>
      </c>
      <c r="D27" s="10" t="s">
        <v>46</v>
      </c>
      <c r="E27" s="9" t="s">
        <v>42</v>
      </c>
      <c r="F27" s="9" t="s">
        <v>42</v>
      </c>
      <c r="G27" s="8"/>
      <c r="H27" s="10"/>
      <c r="I27" s="10"/>
    </row>
    <row r="28" customFormat="false" ht="15" hidden="false" customHeight="false" outlineLevel="0" collapsed="false">
      <c r="A28" s="8" t="n">
        <v>24</v>
      </c>
      <c r="B28" s="8" t="s">
        <v>41</v>
      </c>
      <c r="C28" s="9" t="s">
        <v>42</v>
      </c>
      <c r="D28" s="10" t="s">
        <v>47</v>
      </c>
      <c r="E28" s="9" t="s">
        <v>42</v>
      </c>
      <c r="F28" s="9" t="s">
        <v>42</v>
      </c>
      <c r="G28" s="8"/>
      <c r="H28" s="10"/>
      <c r="I28" s="10"/>
    </row>
    <row r="29" customFormat="false" ht="15" hidden="false" customHeight="false" outlineLevel="0" collapsed="false">
      <c r="A29" s="8" t="n">
        <v>25</v>
      </c>
      <c r="B29" s="8" t="s">
        <v>41</v>
      </c>
      <c r="C29" s="9" t="s">
        <v>42</v>
      </c>
      <c r="D29" s="10" t="s">
        <v>48</v>
      </c>
      <c r="E29" s="9" t="s">
        <v>42</v>
      </c>
      <c r="F29" s="9" t="s">
        <v>42</v>
      </c>
      <c r="G29" s="8"/>
      <c r="H29" s="10"/>
      <c r="I29" s="10"/>
    </row>
  </sheetData>
  <conditionalFormatting sqref="F5:F29">
    <cfRule type="cellIs" priority="2" operator="equal" aboveAverage="0" equalAverage="0" bottom="0" percent="0" rank="0" text="" dxfId="0">
      <formula>"Fatto"</formula>
    </cfRule>
    <cfRule type="cellIs" priority="3" operator="equal" aboveAverage="0" equalAverage="0" bottom="0" percent="0" rank="0" text="" dxfId="1">
      <formula>"Parziale"</formula>
    </cfRule>
    <cfRule type="cellIs" priority="4" operator="equal" aboveAverage="0" equalAverage="0" bottom="0" percent="0" rank="0" text="" dxfId="2">
      <formula>"Saltato"</formula>
    </cfRule>
    <cfRule type="cellIs" priority="5" operator="equal" aboveAverage="0" equalAverage="0" bottom="0" percent="0" rank="0" text="" dxfId="3">
      <formula>"In corso"</formula>
    </cfRule>
  </conditionalFormatting>
  <dataValidations count="1">
    <dataValidation allowBlank="true" errorStyle="stop" operator="between" showDropDown="false" showErrorMessage="false" showInputMessage="false" sqref="F5:F29" type="list">
      <formula1>"Da fare,In corso,Fatto,Parziale,Saltato,Rimandato"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5" min="3" style="0" width="4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27.75" hidden="false" customHeight="true" outlineLevel="0" collapsed="false">
      <c r="A4" s="3" t="s">
        <v>3</v>
      </c>
      <c r="B4" s="3" t="s">
        <v>51</v>
      </c>
      <c r="C4" s="3" t="s">
        <v>52</v>
      </c>
      <c r="D4" s="3" t="s">
        <v>53</v>
      </c>
      <c r="E4" s="3" t="s">
        <v>10</v>
      </c>
      <c r="F4" s="3" t="s">
        <v>54</v>
      </c>
    </row>
    <row r="5" customFormat="false" ht="35.05" hidden="false" customHeight="false" outlineLevel="0" collapsed="false">
      <c r="A5" s="11" t="n">
        <v>46275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</row>
    <row r="6" customFormat="false" ht="15" hidden="false" customHeight="false" outlineLevel="0" collapsed="false">
      <c r="A6" s="13"/>
      <c r="B6" s="7"/>
      <c r="C6" s="7"/>
      <c r="D6" s="7"/>
      <c r="E6" s="7"/>
      <c r="F6" s="7"/>
    </row>
    <row r="7" customFormat="false" ht="15" hidden="false" customHeight="false" outlineLevel="0" collapsed="false">
      <c r="A7" s="13"/>
      <c r="B7" s="7"/>
      <c r="C7" s="7"/>
      <c r="D7" s="7"/>
      <c r="E7" s="7"/>
      <c r="F7" s="7"/>
    </row>
    <row r="8" customFormat="false" ht="15" hidden="false" customHeight="false" outlineLevel="0" collapsed="false">
      <c r="A8" s="13"/>
      <c r="B8" s="7"/>
      <c r="C8" s="7"/>
      <c r="D8" s="7"/>
      <c r="E8" s="7"/>
      <c r="F8" s="7"/>
    </row>
    <row r="9" customFormat="false" ht="15" hidden="false" customHeight="false" outlineLevel="0" collapsed="false">
      <c r="A9" s="13"/>
      <c r="B9" s="7"/>
      <c r="C9" s="7"/>
      <c r="D9" s="7"/>
      <c r="E9" s="7"/>
      <c r="F9" s="7"/>
    </row>
    <row r="10" customFormat="false" ht="15" hidden="false" customHeight="false" outlineLevel="0" collapsed="false">
      <c r="A10" s="13"/>
      <c r="B10" s="7"/>
      <c r="C10" s="7"/>
      <c r="D10" s="7"/>
      <c r="E10" s="7"/>
      <c r="F10" s="7"/>
    </row>
    <row r="11" customFormat="false" ht="15" hidden="false" customHeight="false" outlineLevel="0" collapsed="false">
      <c r="A11" s="13"/>
      <c r="B11" s="7"/>
      <c r="C11" s="7"/>
      <c r="D11" s="7"/>
      <c r="E11" s="7"/>
      <c r="F11" s="7"/>
    </row>
    <row r="12" customFormat="false" ht="15" hidden="false" customHeight="false" outlineLevel="0" collapsed="false">
      <c r="A12" s="13"/>
      <c r="B12" s="7"/>
      <c r="C12" s="7"/>
      <c r="D12" s="7"/>
      <c r="E12" s="7"/>
      <c r="F12" s="7"/>
    </row>
    <row r="13" customFormat="false" ht="15" hidden="false" customHeight="false" outlineLevel="0" collapsed="false">
      <c r="A13" s="13"/>
      <c r="B13" s="7"/>
      <c r="C13" s="7"/>
      <c r="D13" s="7"/>
      <c r="E13" s="7"/>
      <c r="F13" s="7"/>
    </row>
    <row r="14" customFormat="false" ht="15" hidden="false" customHeight="false" outlineLevel="0" collapsed="false">
      <c r="A14" s="13"/>
      <c r="B14" s="7"/>
      <c r="C14" s="7"/>
      <c r="D14" s="7"/>
      <c r="E14" s="7"/>
      <c r="F14" s="7"/>
    </row>
    <row r="15" customFormat="false" ht="15" hidden="false" customHeight="false" outlineLevel="0" collapsed="false">
      <c r="A15" s="13"/>
      <c r="B15" s="7"/>
      <c r="C15" s="7"/>
      <c r="D15" s="7"/>
      <c r="E15" s="7"/>
      <c r="F15" s="7"/>
    </row>
    <row r="16" customFormat="false" ht="15" hidden="false" customHeight="false" outlineLevel="0" collapsed="false">
      <c r="A16" s="13"/>
      <c r="B16" s="7"/>
      <c r="C16" s="7"/>
      <c r="D16" s="7"/>
      <c r="E16" s="7"/>
      <c r="F16" s="7"/>
    </row>
    <row r="17" customFormat="false" ht="15" hidden="false" customHeight="false" outlineLevel="0" collapsed="false">
      <c r="A17" s="13"/>
      <c r="B17" s="7"/>
      <c r="C17" s="7"/>
      <c r="D17" s="7"/>
      <c r="E17" s="7"/>
      <c r="F17" s="7"/>
    </row>
    <row r="18" customFormat="false" ht="15" hidden="false" customHeight="false" outlineLevel="0" collapsed="false">
      <c r="A18" s="13"/>
      <c r="B18" s="7"/>
      <c r="C18" s="7"/>
      <c r="D18" s="7"/>
      <c r="E18" s="7"/>
      <c r="F18" s="7"/>
    </row>
    <row r="19" customFormat="false" ht="15" hidden="false" customHeight="false" outlineLevel="0" collapsed="false">
      <c r="A19" s="13"/>
      <c r="B19" s="7"/>
      <c r="C19" s="7"/>
      <c r="D19" s="7"/>
      <c r="E19" s="7"/>
      <c r="F19" s="7"/>
    </row>
    <row r="20" customFormat="false" ht="15" hidden="false" customHeight="false" outlineLevel="0" collapsed="false">
      <c r="A20" s="13"/>
      <c r="B20" s="7"/>
      <c r="C20" s="7"/>
      <c r="D20" s="7"/>
      <c r="E20" s="7"/>
      <c r="F20" s="7"/>
    </row>
    <row r="21" customFormat="false" ht="15" hidden="false" customHeight="false" outlineLevel="0" collapsed="false">
      <c r="A21" s="13"/>
      <c r="B21" s="7"/>
      <c r="C21" s="7"/>
      <c r="D21" s="7"/>
      <c r="E21" s="7"/>
      <c r="F21" s="7"/>
    </row>
    <row r="22" customFormat="false" ht="15" hidden="false" customHeight="false" outlineLevel="0" collapsed="false">
      <c r="A22" s="13"/>
      <c r="B22" s="7"/>
      <c r="C22" s="7"/>
      <c r="D22" s="7"/>
      <c r="E22" s="7"/>
      <c r="F22" s="7"/>
    </row>
    <row r="23" customFormat="false" ht="15" hidden="false" customHeight="false" outlineLevel="0" collapsed="false">
      <c r="A23" s="13"/>
      <c r="B23" s="7"/>
      <c r="C23" s="7"/>
      <c r="D23" s="7"/>
      <c r="E23" s="7"/>
      <c r="F23" s="7"/>
    </row>
    <row r="24" customFormat="false" ht="15" hidden="false" customHeight="false" outlineLevel="0" collapsed="false">
      <c r="A24" s="13"/>
      <c r="B24" s="7"/>
      <c r="C24" s="7"/>
      <c r="D24" s="7"/>
      <c r="E24" s="7"/>
      <c r="F24" s="7"/>
    </row>
    <row r="25" customFormat="false" ht="15" hidden="false" customHeight="false" outlineLevel="0" collapsed="false">
      <c r="A25" s="13"/>
      <c r="B25" s="7"/>
      <c r="C25" s="7"/>
      <c r="D25" s="7"/>
      <c r="E25" s="7"/>
      <c r="F25" s="7"/>
    </row>
    <row r="26" customFormat="false" ht="15" hidden="false" customHeight="false" outlineLevel="0" collapsed="false">
      <c r="A26" s="13"/>
      <c r="B26" s="7"/>
      <c r="C26" s="7"/>
      <c r="D26" s="7"/>
      <c r="E26" s="7"/>
      <c r="F26" s="7"/>
    </row>
    <row r="27" customFormat="false" ht="15" hidden="false" customHeight="false" outlineLevel="0" collapsed="false">
      <c r="A27" s="13"/>
      <c r="B27" s="7"/>
      <c r="C27" s="7"/>
      <c r="D27" s="7"/>
      <c r="E27" s="7"/>
      <c r="F27" s="7"/>
    </row>
    <row r="28" customFormat="false" ht="15" hidden="false" customHeight="false" outlineLevel="0" collapsed="false">
      <c r="A28" s="13"/>
      <c r="B28" s="7"/>
      <c r="C28" s="7"/>
      <c r="D28" s="7"/>
      <c r="E28" s="7"/>
      <c r="F28" s="7"/>
    </row>
    <row r="29" customFormat="false" ht="15" hidden="false" customHeight="false" outlineLevel="0" collapsed="false">
      <c r="A29" s="13"/>
      <c r="B29" s="7"/>
      <c r="C29" s="7"/>
      <c r="D29" s="7"/>
      <c r="E29" s="7"/>
      <c r="F29" s="7"/>
    </row>
    <row r="30" customFormat="false" ht="15" hidden="false" customHeight="false" outlineLevel="0" collapsed="false">
      <c r="A30" s="13"/>
      <c r="B30" s="7"/>
      <c r="C30" s="7"/>
      <c r="D30" s="7"/>
      <c r="E30" s="7"/>
      <c r="F30" s="7"/>
    </row>
    <row r="31" customFormat="false" ht="15" hidden="false" customHeight="false" outlineLevel="0" collapsed="false">
      <c r="A31" s="13"/>
      <c r="B31" s="7"/>
      <c r="C31" s="7"/>
      <c r="D31" s="7"/>
      <c r="E31" s="7"/>
      <c r="F31" s="7"/>
    </row>
    <row r="32" customFormat="false" ht="15" hidden="false" customHeight="false" outlineLevel="0" collapsed="false">
      <c r="A32" s="13"/>
      <c r="B32" s="7"/>
      <c r="C32" s="7"/>
      <c r="D32" s="7"/>
      <c r="E32" s="7"/>
      <c r="F32" s="7"/>
    </row>
    <row r="33" customFormat="false" ht="15" hidden="false" customHeight="false" outlineLevel="0" collapsed="false">
      <c r="A33" s="13"/>
      <c r="B33" s="7"/>
      <c r="C33" s="7"/>
      <c r="D33" s="7"/>
      <c r="E33" s="7"/>
      <c r="F33" s="7"/>
    </row>
    <row r="34" customFormat="false" ht="15" hidden="false" customHeight="false" outlineLevel="0" collapsed="false">
      <c r="A34" s="13"/>
      <c r="B34" s="7"/>
      <c r="C34" s="7"/>
      <c r="D34" s="7"/>
      <c r="E34" s="7"/>
      <c r="F34" s="7"/>
    </row>
    <row r="35" customFormat="false" ht="15" hidden="false" customHeight="false" outlineLevel="0" collapsed="false">
      <c r="A35" s="13"/>
      <c r="B35" s="7"/>
      <c r="C35" s="7"/>
      <c r="D35" s="7"/>
      <c r="E35" s="7"/>
      <c r="F35" s="7"/>
    </row>
    <row r="36" customFormat="false" ht="15" hidden="false" customHeight="false" outlineLevel="0" collapsed="false">
      <c r="A36" s="13"/>
      <c r="B36" s="7"/>
      <c r="C36" s="7"/>
      <c r="D36" s="7"/>
      <c r="E36" s="7"/>
      <c r="F36" s="7"/>
    </row>
    <row r="37" customFormat="false" ht="15" hidden="false" customHeight="false" outlineLevel="0" collapsed="false">
      <c r="A37" s="13"/>
      <c r="B37" s="7"/>
      <c r="C37" s="7"/>
      <c r="D37" s="7"/>
      <c r="E37" s="7"/>
      <c r="F37" s="7"/>
    </row>
    <row r="38" customFormat="false" ht="15" hidden="false" customHeight="false" outlineLevel="0" collapsed="false">
      <c r="A38" s="13"/>
      <c r="B38" s="7"/>
      <c r="C38" s="7"/>
      <c r="D38" s="7"/>
      <c r="E38" s="7"/>
      <c r="F38" s="7"/>
    </row>
    <row r="39" customFormat="false" ht="15" hidden="false" customHeight="false" outlineLevel="0" collapsed="false">
      <c r="A39" s="13"/>
      <c r="B39" s="7"/>
      <c r="C39" s="7"/>
      <c r="D39" s="7"/>
      <c r="E39" s="7"/>
      <c r="F39" s="7"/>
    </row>
    <row r="40" customFormat="false" ht="15" hidden="false" customHeight="false" outlineLevel="0" collapsed="false">
      <c r="A40" s="13"/>
      <c r="B40" s="7"/>
      <c r="C40" s="7"/>
      <c r="D40" s="7"/>
      <c r="E40" s="7"/>
      <c r="F40" s="7"/>
    </row>
    <row r="41" customFormat="false" ht="15" hidden="false" customHeight="false" outlineLevel="0" collapsed="false">
      <c r="A41" s="13"/>
      <c r="B41" s="7"/>
      <c r="C41" s="7"/>
      <c r="D41" s="7"/>
      <c r="E41" s="7"/>
      <c r="F41" s="7"/>
    </row>
    <row r="42" customFormat="false" ht="15" hidden="false" customHeight="false" outlineLevel="0" collapsed="false">
      <c r="A42" s="13"/>
      <c r="B42" s="7"/>
      <c r="C42" s="7"/>
      <c r="D42" s="7"/>
      <c r="E42" s="7"/>
      <c r="F42" s="7"/>
    </row>
    <row r="43" customFormat="false" ht="15" hidden="false" customHeight="false" outlineLevel="0" collapsed="false">
      <c r="A43" s="13"/>
      <c r="B43" s="7"/>
      <c r="C43" s="7"/>
      <c r="D43" s="7"/>
      <c r="E43" s="7"/>
      <c r="F43" s="7"/>
    </row>
    <row r="44" customFormat="false" ht="15" hidden="false" customHeight="false" outlineLevel="0" collapsed="false">
      <c r="A44" s="13"/>
      <c r="B44" s="7"/>
      <c r="C44" s="7"/>
      <c r="D44" s="7"/>
      <c r="E44" s="7"/>
      <c r="F44" s="7"/>
    </row>
    <row r="45" customFormat="false" ht="15" hidden="false" customHeight="false" outlineLevel="0" collapsed="false">
      <c r="A45" s="13"/>
      <c r="B45" s="7"/>
      <c r="C45" s="7"/>
      <c r="D45" s="7"/>
      <c r="E45" s="7"/>
      <c r="F45" s="7"/>
    </row>
    <row r="46" customFormat="false" ht="15" hidden="false" customHeight="false" outlineLevel="0" collapsed="false">
      <c r="A46" s="13"/>
      <c r="B46" s="7"/>
      <c r="C46" s="7"/>
      <c r="D46" s="7"/>
      <c r="E46" s="7"/>
      <c r="F46" s="7"/>
    </row>
    <row r="47" customFormat="false" ht="15" hidden="false" customHeight="false" outlineLevel="0" collapsed="false">
      <c r="A47" s="13"/>
      <c r="B47" s="7"/>
      <c r="C47" s="7"/>
      <c r="D47" s="7"/>
      <c r="E47" s="7"/>
      <c r="F47" s="7"/>
    </row>
    <row r="48" customFormat="false" ht="15" hidden="false" customHeight="false" outlineLevel="0" collapsed="false">
      <c r="A48" s="13"/>
      <c r="B48" s="7"/>
      <c r="C48" s="7"/>
      <c r="D48" s="7"/>
      <c r="E48" s="7"/>
      <c r="F48" s="7"/>
    </row>
    <row r="49" customFormat="false" ht="15" hidden="false" customHeight="false" outlineLevel="0" collapsed="false">
      <c r="A49" s="13"/>
      <c r="B49" s="7"/>
      <c r="C49" s="7"/>
      <c r="D49" s="7"/>
      <c r="E49" s="7"/>
      <c r="F49" s="7"/>
    </row>
    <row r="50" customFormat="false" ht="15" hidden="false" customHeight="false" outlineLevel="0" collapsed="false">
      <c r="A50" s="13"/>
      <c r="B50" s="7"/>
      <c r="C50" s="7"/>
      <c r="D50" s="7"/>
      <c r="E50" s="7"/>
      <c r="F50" s="7"/>
    </row>
    <row r="51" customFormat="false" ht="15" hidden="false" customHeight="false" outlineLevel="0" collapsed="false">
      <c r="A51" s="13"/>
      <c r="B51" s="7"/>
      <c r="C51" s="7"/>
      <c r="D51" s="7"/>
      <c r="E51" s="7"/>
      <c r="F51" s="7"/>
    </row>
    <row r="52" customFormat="false" ht="15" hidden="false" customHeight="false" outlineLevel="0" collapsed="false">
      <c r="A52" s="13"/>
      <c r="B52" s="7"/>
      <c r="C52" s="7"/>
      <c r="D52" s="7"/>
      <c r="E52" s="7"/>
      <c r="F52" s="7"/>
    </row>
    <row r="53" customFormat="false" ht="15" hidden="false" customHeight="false" outlineLevel="0" collapsed="false">
      <c r="A53" s="13"/>
      <c r="B53" s="7"/>
      <c r="C53" s="7"/>
      <c r="D53" s="7"/>
      <c r="E53" s="7"/>
      <c r="F53" s="7"/>
    </row>
    <row r="54" customFormat="false" ht="15" hidden="false" customHeight="false" outlineLevel="0" collapsed="false">
      <c r="A54" s="13"/>
      <c r="B54" s="7"/>
      <c r="C54" s="7"/>
      <c r="D54" s="7"/>
      <c r="E54" s="7"/>
      <c r="F54" s="7"/>
    </row>
    <row r="55" customFormat="false" ht="15" hidden="false" customHeight="false" outlineLevel="0" collapsed="false">
      <c r="A55" s="13"/>
      <c r="B55" s="7"/>
      <c r="C55" s="7"/>
      <c r="D55" s="7"/>
      <c r="E55" s="7"/>
      <c r="F55" s="7"/>
    </row>
    <row r="56" customFormat="false" ht="15" hidden="false" customHeight="false" outlineLevel="0" collapsed="false">
      <c r="A56" s="13"/>
      <c r="B56" s="7"/>
      <c r="C56" s="7"/>
      <c r="D56" s="7"/>
      <c r="E56" s="7"/>
      <c r="F56" s="7"/>
    </row>
    <row r="57" customFormat="false" ht="15" hidden="false" customHeight="false" outlineLevel="0" collapsed="false">
      <c r="A57" s="13"/>
      <c r="B57" s="7"/>
      <c r="C57" s="7"/>
      <c r="D57" s="7"/>
      <c r="E57" s="7"/>
      <c r="F57" s="7"/>
    </row>
    <row r="58" customFormat="false" ht="15" hidden="false" customHeight="false" outlineLevel="0" collapsed="false">
      <c r="A58" s="13"/>
      <c r="B58" s="7"/>
      <c r="C58" s="7"/>
      <c r="D58" s="7"/>
      <c r="E58" s="7"/>
      <c r="F58" s="7"/>
    </row>
    <row r="59" customFormat="false" ht="15" hidden="false" customHeight="false" outlineLevel="0" collapsed="false">
      <c r="A59" s="13"/>
      <c r="B59" s="7"/>
      <c r="C59" s="7"/>
      <c r="D59" s="7"/>
      <c r="E59" s="7"/>
      <c r="F59" s="7"/>
    </row>
    <row r="60" customFormat="false" ht="15" hidden="false" customHeight="false" outlineLevel="0" collapsed="false">
      <c r="A60" s="13"/>
      <c r="B60" s="7"/>
      <c r="C60" s="7"/>
      <c r="D60" s="7"/>
      <c r="E60" s="7"/>
      <c r="F60" s="7"/>
    </row>
    <row r="61" customFormat="false" ht="15" hidden="false" customHeight="false" outlineLevel="0" collapsed="false">
      <c r="A61" s="13"/>
      <c r="B61" s="7"/>
      <c r="C61" s="7"/>
      <c r="D61" s="7"/>
      <c r="E61" s="7"/>
      <c r="F61" s="7"/>
    </row>
    <row r="62" customFormat="false" ht="15" hidden="false" customHeight="false" outlineLevel="0" collapsed="false">
      <c r="A62" s="13"/>
      <c r="B62" s="7"/>
      <c r="C62" s="7"/>
      <c r="D62" s="7"/>
      <c r="E62" s="7"/>
      <c r="F62" s="7"/>
    </row>
    <row r="63" customFormat="false" ht="15" hidden="false" customHeight="false" outlineLevel="0" collapsed="false">
      <c r="A63" s="13"/>
      <c r="B63" s="7"/>
      <c r="C63" s="7"/>
      <c r="D63" s="7"/>
      <c r="E63" s="7"/>
      <c r="F63" s="7"/>
    </row>
    <row r="64" customFormat="false" ht="15" hidden="false" customHeight="false" outlineLevel="0" collapsed="false">
      <c r="A64" s="13"/>
      <c r="B64" s="7"/>
      <c r="C64" s="7"/>
      <c r="D64" s="7"/>
      <c r="E64" s="7"/>
      <c r="F64" s="7"/>
    </row>
    <row r="65" customFormat="false" ht="15" hidden="false" customHeight="false" outlineLevel="0" collapsed="false">
      <c r="A65" s="13"/>
      <c r="B65" s="7"/>
      <c r="C65" s="7"/>
      <c r="D65" s="7"/>
      <c r="E65" s="7"/>
      <c r="F65" s="7"/>
    </row>
    <row r="66" customFormat="false" ht="15" hidden="false" customHeight="false" outlineLevel="0" collapsed="false">
      <c r="A66" s="13"/>
      <c r="B66" s="7"/>
      <c r="C66" s="7"/>
      <c r="D66" s="7"/>
      <c r="E66" s="7"/>
      <c r="F66" s="7"/>
    </row>
    <row r="67" customFormat="false" ht="15" hidden="false" customHeight="false" outlineLevel="0" collapsed="false">
      <c r="A67" s="13"/>
      <c r="B67" s="7"/>
      <c r="C67" s="7"/>
      <c r="D67" s="7"/>
      <c r="E67" s="7"/>
      <c r="F67" s="7"/>
    </row>
    <row r="68" customFormat="false" ht="15" hidden="false" customHeight="false" outlineLevel="0" collapsed="false">
      <c r="A68" s="13"/>
      <c r="B68" s="7"/>
      <c r="C68" s="7"/>
      <c r="D68" s="7"/>
      <c r="E68" s="7"/>
      <c r="F68" s="7"/>
    </row>
    <row r="69" customFormat="false" ht="15" hidden="false" customHeight="false" outlineLevel="0" collapsed="false">
      <c r="A69" s="13"/>
      <c r="B69" s="7"/>
      <c r="C69" s="7"/>
      <c r="D69" s="7"/>
      <c r="E69" s="7"/>
      <c r="F69" s="7"/>
    </row>
    <row r="70" customFormat="false" ht="15" hidden="false" customHeight="false" outlineLevel="0" collapsed="false">
      <c r="A70" s="13"/>
      <c r="B70" s="7"/>
      <c r="C70" s="7"/>
      <c r="D70" s="7"/>
      <c r="E70" s="7"/>
      <c r="F70" s="7"/>
    </row>
    <row r="71" customFormat="false" ht="15" hidden="false" customHeight="false" outlineLevel="0" collapsed="false">
      <c r="A71" s="13"/>
      <c r="B71" s="7"/>
      <c r="C71" s="7"/>
      <c r="D71" s="7"/>
      <c r="E71" s="7"/>
      <c r="F71" s="7"/>
    </row>
    <row r="72" customFormat="false" ht="15" hidden="false" customHeight="false" outlineLevel="0" collapsed="false">
      <c r="A72" s="13"/>
      <c r="B72" s="7"/>
      <c r="C72" s="7"/>
      <c r="D72" s="7"/>
      <c r="E72" s="7"/>
      <c r="F72" s="7"/>
    </row>
    <row r="73" customFormat="false" ht="15" hidden="false" customHeight="false" outlineLevel="0" collapsed="false">
      <c r="A73" s="13"/>
      <c r="B73" s="7"/>
      <c r="C73" s="7"/>
      <c r="D73" s="7"/>
      <c r="E73" s="7"/>
      <c r="F73" s="7"/>
    </row>
    <row r="74" customFormat="false" ht="15" hidden="false" customHeight="false" outlineLevel="0" collapsed="false">
      <c r="A74" s="13"/>
      <c r="B74" s="7"/>
      <c r="C74" s="7"/>
      <c r="D74" s="7"/>
      <c r="E74" s="7"/>
      <c r="F74" s="7"/>
    </row>
    <row r="75" customFormat="false" ht="15" hidden="false" customHeight="false" outlineLevel="0" collapsed="false">
      <c r="A75" s="13"/>
      <c r="B75" s="7"/>
      <c r="C75" s="7"/>
      <c r="D75" s="7"/>
      <c r="E75" s="7"/>
      <c r="F75" s="7"/>
    </row>
    <row r="76" customFormat="false" ht="15" hidden="false" customHeight="false" outlineLevel="0" collapsed="false">
      <c r="A76" s="13"/>
      <c r="B76" s="7"/>
      <c r="C76" s="7"/>
      <c r="D76" s="7"/>
      <c r="E76" s="7"/>
      <c r="F76" s="7"/>
    </row>
    <row r="77" customFormat="false" ht="15" hidden="false" customHeight="false" outlineLevel="0" collapsed="false">
      <c r="A77" s="13"/>
      <c r="B77" s="7"/>
      <c r="C77" s="7"/>
      <c r="D77" s="7"/>
      <c r="E77" s="7"/>
      <c r="F77" s="7"/>
    </row>
    <row r="78" customFormat="false" ht="15" hidden="false" customHeight="false" outlineLevel="0" collapsed="false">
      <c r="A78" s="13"/>
      <c r="B78" s="7"/>
      <c r="C78" s="7"/>
      <c r="D78" s="7"/>
      <c r="E78" s="7"/>
      <c r="F78" s="7"/>
    </row>
    <row r="79" customFormat="false" ht="15" hidden="false" customHeight="false" outlineLevel="0" collapsed="false">
      <c r="A79" s="13"/>
      <c r="B79" s="7"/>
      <c r="C79" s="7"/>
      <c r="D79" s="7"/>
      <c r="E79" s="7"/>
      <c r="F79" s="7"/>
    </row>
  </sheetData>
  <dataValidations count="1">
    <dataValidation allowBlank="true" errorStyle="stop" operator="between" showDropDown="false" showErrorMessage="false" showInputMessage="false" sqref="B5:B79" type="list">
      <formula1>"Stage,Statistica,Progetto PISSIR"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14" t="s">
        <v>61</v>
      </c>
      <c r="B3" s="15" t="n">
        <f aca="false">COUNTIF(Piano!E5:E29,"Alta")+COUNTIF(Piano!E5:E29,"Media")</f>
        <v>19</v>
      </c>
    </row>
    <row r="4" customFormat="false" ht="15" hidden="false" customHeight="false" outlineLevel="0" collapsed="false">
      <c r="A4" s="14" t="s">
        <v>62</v>
      </c>
      <c r="B4" s="15" t="n">
        <f aca="false">COUNTIF(Piano!F5:F29,"Fatto")</f>
        <v>0</v>
      </c>
    </row>
    <row r="5" customFormat="false" ht="15" hidden="false" customHeight="false" outlineLevel="0" collapsed="false">
      <c r="A5" s="14" t="s">
        <v>63</v>
      </c>
      <c r="B5" s="15" t="n">
        <f aca="false">COUNTIF(Piano!F5:F29,"Parziale")</f>
        <v>0</v>
      </c>
    </row>
    <row r="6" customFormat="false" ht="15" hidden="false" customHeight="false" outlineLevel="0" collapsed="false">
      <c r="A6" s="14" t="s">
        <v>64</v>
      </c>
      <c r="B6" s="15" t="n">
        <f aca="false">COUNTIF(Piano!F5:F29,"Saltato")</f>
        <v>0</v>
      </c>
    </row>
    <row r="7" customFormat="false" ht="15" hidden="false" customHeight="false" outlineLevel="0" collapsed="false">
      <c r="A7" s="14" t="s">
        <v>65</v>
      </c>
      <c r="B7" s="16" t="n">
        <f aca="false">IFERROR(B4/B3,0)</f>
        <v>0</v>
      </c>
    </row>
    <row r="8" customFormat="false" ht="15" hidden="false" customHeight="false" outlineLevel="0" collapsed="false">
      <c r="A8" s="14" t="s">
        <v>66</v>
      </c>
      <c r="B8" s="17" t="n">
        <f aca="false">SUM(Piano!G5:G29)</f>
        <v>0</v>
      </c>
    </row>
    <row r="9" customFormat="false" ht="15" hidden="false" customHeight="false" outlineLevel="0" collapsed="false">
      <c r="A9" s="14" t="s">
        <v>67</v>
      </c>
      <c r="B9" s="17" t="n">
        <f aca="false">B3*3</f>
        <v>57</v>
      </c>
    </row>
    <row r="10" customFormat="false" ht="15" hidden="false" customHeight="false" outlineLevel="0" collapsed="false">
      <c r="A10" s="14" t="s">
        <v>68</v>
      </c>
      <c r="B10" s="17" t="n">
        <f aca="false">B8-B9</f>
        <v>-57</v>
      </c>
    </row>
    <row r="11" customFormat="false" ht="15" hidden="false" customHeight="false" outlineLevel="0" collapsed="false">
      <c r="A11" s="14" t="s">
        <v>69</v>
      </c>
      <c r="B11" s="17" t="n">
        <f aca="false">IFERROR(AVERAGEIF(Piano!G5:G29,"&gt;0"),0)</f>
        <v>0</v>
      </c>
    </row>
    <row r="12" customFormat="false" ht="15" hidden="false" customHeight="false" outlineLevel="0" collapsed="false">
      <c r="A12" s="14" t="s">
        <v>70</v>
      </c>
      <c r="B12" s="15" t="n">
        <f aca="true">MAX(0,DATE(2026,9,28)-TODAY())</f>
        <v>19</v>
      </c>
    </row>
    <row r="15" customFormat="false" ht="15" hidden="false" customHeight="false" outlineLevel="0" collapsed="false">
      <c r="A15" s="2" t="s">
        <v>71</v>
      </c>
    </row>
    <row r="16" customFormat="false" ht="15" hidden="false" customHeight="false" outlineLevel="0" collapsed="false">
      <c r="A16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2026-09-09T12:29:24Z</dcterms:created>
  <dc:creator>openpyxl</dc:creator>
  <dc:description/>
  <dc:language>en-US</dc:language>
  <cp:lastModifiedBy/>
  <dcterms:modified xsi:type="dcterms:W3CDTF">2026-09-09T12:29:24Z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